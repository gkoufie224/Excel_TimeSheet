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CTS-130 SPREADSHEET\Module 3_1\"/>
    </mc:Choice>
  </mc:AlternateContent>
  <xr:revisionPtr revIDLastSave="0" documentId="13_ncr:1_{27FE51F8-F9BD-4D42-AC55-A9A5A7E3818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cumentation" sheetId="11" r:id="rId1"/>
    <sheet name="Timesheet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10" l="1"/>
  <c r="J17" i="10"/>
  <c r="J16" i="10"/>
  <c r="K11" i="10"/>
  <c r="K10" i="10"/>
  <c r="K9" i="10"/>
  <c r="K8" i="10"/>
  <c r="I11" i="10"/>
  <c r="I10" i="10"/>
  <c r="I9" i="10"/>
  <c r="I8" i="10"/>
  <c r="I7" i="10"/>
  <c r="I6" i="10"/>
  <c r="H2" i="10"/>
  <c r="B18" i="10"/>
  <c r="B19" i="10"/>
  <c r="B20" i="10"/>
  <c r="G20" i="10" s="1"/>
  <c r="B17" i="10"/>
  <c r="G17" i="10" s="1"/>
  <c r="C4" i="10"/>
  <c r="C5" i="10"/>
  <c r="G18" i="10"/>
  <c r="G19" i="10"/>
  <c r="J11" i="10" l="1"/>
</calcChain>
</file>

<file path=xl/sharedStrings.xml><?xml version="1.0" encoding="utf-8"?>
<sst xmlns="http://schemas.openxmlformats.org/spreadsheetml/2006/main" count="43" uniqueCount="36">
  <si>
    <t>Mon</t>
  </si>
  <si>
    <t>Holiday</t>
  </si>
  <si>
    <t>Vacation</t>
  </si>
  <si>
    <t>Sick</t>
  </si>
  <si>
    <t>Comp</t>
  </si>
  <si>
    <t>Week #</t>
  </si>
  <si>
    <t>Hours Worked</t>
  </si>
  <si>
    <t>Total Hours For Week</t>
  </si>
  <si>
    <t>Date completed</t>
  </si>
  <si>
    <t>Other Hours Used</t>
  </si>
  <si>
    <t>Summary</t>
  </si>
  <si>
    <t>Worked</t>
  </si>
  <si>
    <t>Total</t>
  </si>
  <si>
    <t>Balances</t>
  </si>
  <si>
    <t>Name</t>
  </si>
  <si>
    <t>Timesheet due</t>
  </si>
  <si>
    <t>Period start</t>
  </si>
  <si>
    <t>Period end</t>
  </si>
  <si>
    <t>Period Start</t>
  </si>
  <si>
    <t>Period End</t>
  </si>
  <si>
    <t>Author:</t>
  </si>
  <si>
    <t>George Koufie</t>
  </si>
  <si>
    <t>Note: Do not edit this sheet. If your name does not appear in cell B6, please download a new copy of the file from the SAM website.</t>
  </si>
  <si>
    <t>Barrel Barnard Consulting</t>
  </si>
  <si>
    <t>Reporting Period Hours</t>
  </si>
  <si>
    <t>Hours Used</t>
  </si>
  <si>
    <t>Hours worked per day</t>
  </si>
  <si>
    <t>Average</t>
  </si>
  <si>
    <t>Maximum</t>
  </si>
  <si>
    <t>Minimum</t>
  </si>
  <si>
    <t>PERFORM CALCULATIONS WITH FORMULAS AND FUNCTIONS</t>
  </si>
  <si>
    <r>
      <rPr>
        <b/>
        <sz val="10"/>
        <color theme="0"/>
        <rFont val="Century Gothic"/>
        <family val="2"/>
      </rPr>
      <t>New Perspectives Excel 2019</t>
    </r>
    <r>
      <rPr>
        <sz val="10"/>
        <color theme="0"/>
        <rFont val="Century Gothic"/>
        <family val="2"/>
      </rPr>
      <t xml:space="preserve"> | Module 3: End of Module Project 1</t>
    </r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</si>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</sst>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28"/>
      <color rgb="FF0070C0"/>
      <name val="Century Gothic"/>
      <family val="2"/>
    </font>
    <font>
      <sz val="10"/>
      <color rgb="FF0070C0"/>
      <name val="Century Gothic"/>
      <family val="2"/>
    </font>
    <font>
      <sz val="11"/>
      <color rgb="FF000000"/>
      <name val="Century Gothic"/>
      <family val="2"/>
    </font>
    <font>
      <sz val="11"/>
      <color rgb="FF4B4C4C"/>
      <name val="Century Gothic"/>
      <family val="2"/>
    </font>
    <font>
      <i/>
      <sz val="10"/>
      <color rgb="FFCC6600"/>
      <name val="Century Gothic"/>
      <family val="2"/>
    </font>
    <font>
      <i/>
      <sz val="1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4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rgb="FFE34601"/>
      </bottom>
      <diagonal/>
    </border>
    <border>
      <left/>
      <right style="thick">
        <color rgb="FF93A5B2"/>
      </right>
      <top/>
      <bottom style="thin">
        <color rgb="FFE34601"/>
      </bottom>
      <diagonal/>
    </border>
    <border>
      <left/>
      <right style="thick">
        <color rgb="FF93A5B2"/>
      </right>
      <top/>
      <bottom/>
      <diagonal/>
    </border>
    <border>
      <left/>
      <right/>
      <top/>
      <bottom style="thin">
        <color rgb="FF93A5B2"/>
      </bottom>
      <diagonal/>
    </border>
    <border>
      <left/>
      <right/>
      <top/>
      <bottom style="thick">
        <color rgb="FF93A5B2"/>
      </bottom>
      <diagonal/>
    </border>
    <border>
      <left/>
      <right style="thick">
        <color rgb="FF93A5B2"/>
      </right>
      <top/>
      <bottom style="thick">
        <color rgb="FF93A5B2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2">
    <xf numFmtId="0" fontId="0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5" fillId="0" borderId="0"/>
    <xf numFmtId="0" fontId="2" fillId="0" borderId="0"/>
    <xf numFmtId="0" fontId="22" fillId="11" borderId="0">
      <alignment vertical="top" wrapText="1"/>
    </xf>
    <xf numFmtId="0" fontId="24" fillId="11" borderId="0">
      <alignment vertical="top" wrapText="1"/>
    </xf>
  </cellStyleXfs>
  <cellXfs count="7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2" fontId="0" fillId="0" borderId="0" xfId="0" applyNumberFormat="1" applyFill="1" applyBorder="1"/>
    <xf numFmtId="2" fontId="0" fillId="0" borderId="0" xfId="0" applyNumberFormat="1" applyBorder="1"/>
    <xf numFmtId="0" fontId="0" fillId="0" borderId="0" xfId="0" applyBorder="1"/>
    <xf numFmtId="0" fontId="6" fillId="0" borderId="0" xfId="0" applyFont="1"/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5" fillId="0" borderId="0" xfId="0" applyNumberFormat="1" applyFont="1" applyBorder="1"/>
    <xf numFmtId="0" fontId="12" fillId="6" borderId="1" xfId="5" applyFont="1" applyBorder="1" applyAlignment="1">
      <alignment horizontal="center"/>
    </xf>
    <xf numFmtId="0" fontId="12" fillId="6" borderId="1" xfId="5" applyFont="1" applyBorder="1" applyAlignment="1">
      <alignment horizontal="center" vertical="center" wrapText="1"/>
    </xf>
    <xf numFmtId="2" fontId="11" fillId="0" borderId="1" xfId="0" applyNumberFormat="1" applyFont="1" applyBorder="1"/>
    <xf numFmtId="2" fontId="11" fillId="0" borderId="1" xfId="0" applyNumberFormat="1" applyFont="1" applyFill="1" applyBorder="1"/>
    <xf numFmtId="0" fontId="8" fillId="4" borderId="0" xfId="3" applyFont="1" applyBorder="1" applyAlignment="1">
      <alignment horizontal="center" vertical="center"/>
    </xf>
    <xf numFmtId="0" fontId="7" fillId="2" borderId="0" xfId="1" applyFont="1" applyAlignment="1">
      <alignment horizontal="center" vertical="center"/>
    </xf>
    <xf numFmtId="2" fontId="15" fillId="8" borderId="0" xfId="7" applyNumberFormat="1" applyFont="1" applyBorder="1" applyAlignment="1">
      <alignment horizontal="center" vertical="center" wrapText="1"/>
    </xf>
    <xf numFmtId="14" fontId="16" fillId="7" borderId="0" xfId="6" applyNumberFormat="1" applyFont="1" applyAlignment="1">
      <alignment horizontal="center"/>
    </xf>
    <xf numFmtId="2" fontId="10" fillId="6" borderId="0" xfId="5" applyNumberFormat="1" applyBorder="1"/>
    <xf numFmtId="0" fontId="8" fillId="8" borderId="6" xfId="7" applyFont="1" applyBorder="1" applyAlignment="1">
      <alignment horizontal="left"/>
    </xf>
    <xf numFmtId="2" fontId="10" fillId="8" borderId="6" xfId="7" applyNumberFormat="1" applyBorder="1" applyAlignment="1">
      <alignment horizontal="left"/>
    </xf>
    <xf numFmtId="0" fontId="8" fillId="8" borderId="8" xfId="7" applyFont="1" applyBorder="1" applyAlignment="1">
      <alignment horizontal="left"/>
    </xf>
    <xf numFmtId="2" fontId="8" fillId="7" borderId="6" xfId="6" applyNumberFormat="1" applyFont="1" applyBorder="1" applyAlignment="1">
      <alignment horizontal="center"/>
    </xf>
    <xf numFmtId="0" fontId="8" fillId="7" borderId="7" xfId="6" applyFont="1" applyBorder="1" applyAlignment="1">
      <alignment horizontal="center"/>
    </xf>
    <xf numFmtId="2" fontId="0" fillId="9" borderId="6" xfId="0" applyNumberFormat="1" applyFill="1" applyBorder="1"/>
    <xf numFmtId="2" fontId="0" fillId="9" borderId="7" xfId="0" applyNumberFormat="1" applyFill="1" applyBorder="1"/>
    <xf numFmtId="2" fontId="10" fillId="3" borderId="6" xfId="2" applyNumberFormat="1" applyBorder="1"/>
    <xf numFmtId="2" fontId="10" fillId="3" borderId="7" xfId="2" applyNumberFormat="1" applyBorder="1"/>
    <xf numFmtId="2" fontId="10" fillId="3" borderId="12" xfId="2" applyNumberFormat="1" applyBorder="1"/>
    <xf numFmtId="2" fontId="10" fillId="3" borderId="10" xfId="2" applyNumberFormat="1" applyBorder="1"/>
    <xf numFmtId="2" fontId="8" fillId="3" borderId="8" xfId="2" applyNumberFormat="1" applyFont="1" applyBorder="1"/>
    <xf numFmtId="1" fontId="8" fillId="6" borderId="2" xfId="5" applyNumberFormat="1" applyFont="1" applyBorder="1"/>
    <xf numFmtId="0" fontId="19" fillId="10" borderId="13" xfId="8" applyFont="1" applyFill="1" applyBorder="1" applyAlignment="1">
      <alignment vertical="center"/>
    </xf>
    <xf numFmtId="0" fontId="21" fillId="10" borderId="14" xfId="8" applyFont="1" applyFill="1" applyBorder="1" applyAlignment="1">
      <alignment horizontal="left"/>
    </xf>
    <xf numFmtId="0" fontId="5" fillId="0" borderId="0" xfId="8" applyFill="1"/>
    <xf numFmtId="0" fontId="21" fillId="0" borderId="0" xfId="8" applyFont="1" applyFill="1" applyBorder="1" applyAlignment="1">
      <alignment vertical="center"/>
    </xf>
    <xf numFmtId="0" fontId="2" fillId="0" borderId="0" xfId="9"/>
    <xf numFmtId="0" fontId="21" fillId="11" borderId="15" xfId="8" applyFont="1" applyFill="1" applyBorder="1" applyAlignment="1">
      <alignment horizontal="left"/>
    </xf>
    <xf numFmtId="0" fontId="21" fillId="11" borderId="0" xfId="8" applyFont="1" applyFill="1" applyBorder="1" applyAlignment="1">
      <alignment horizontal="left"/>
    </xf>
    <xf numFmtId="0" fontId="22" fillId="11" borderId="0" xfId="10" applyBorder="1" applyAlignment="1">
      <alignment horizontal="left" vertical="top" wrapText="1"/>
    </xf>
    <xf numFmtId="0" fontId="23" fillId="11" borderId="15" xfId="8" applyFont="1" applyFill="1" applyBorder="1" applyAlignment="1">
      <alignment horizontal="left" wrapText="1"/>
    </xf>
    <xf numFmtId="0" fontId="5" fillId="0" borderId="0" xfId="8" applyFill="1" applyAlignment="1">
      <alignment wrapText="1"/>
    </xf>
    <xf numFmtId="0" fontId="25" fillId="11" borderId="0" xfId="11" applyFont="1" applyBorder="1" applyAlignment="1">
      <alignment horizontal="left" vertical="top" wrapText="1"/>
    </xf>
    <xf numFmtId="0" fontId="21" fillId="11" borderId="0" xfId="8" applyFont="1" applyFill="1" applyBorder="1" applyAlignment="1">
      <alignment horizontal="right"/>
    </xf>
    <xf numFmtId="0" fontId="26" fillId="12" borderId="16" xfId="8" applyFont="1" applyFill="1" applyBorder="1" applyAlignment="1">
      <alignment horizontal="left"/>
    </xf>
    <xf numFmtId="14" fontId="10" fillId="3" borderId="0" xfId="2" applyNumberFormat="1" applyAlignment="1">
      <alignment horizontal="center"/>
    </xf>
    <xf numFmtId="14" fontId="8" fillId="6" borderId="19" xfId="5" applyNumberFormat="1" applyFont="1" applyBorder="1" applyAlignment="1">
      <alignment horizontal="center"/>
    </xf>
    <xf numFmtId="0" fontId="10" fillId="6" borderId="0" xfId="5" applyBorder="1" applyAlignment="1">
      <alignment horizontal="center"/>
    </xf>
    <xf numFmtId="0" fontId="14" fillId="5" borderId="0" xfId="4" applyFont="1" applyBorder="1" applyAlignment="1">
      <alignment horizontal="center" vertical="center"/>
    </xf>
    <xf numFmtId="0" fontId="1" fillId="4" borderId="0" xfId="3" applyFont="1" applyBorder="1" applyAlignment="1">
      <alignment horizontal="left" vertical="center"/>
    </xf>
    <xf numFmtId="0" fontId="27" fillId="11" borderId="0" xfId="8" applyFont="1" applyFill="1" applyBorder="1" applyAlignment="1">
      <alignment horizontal="center" vertical="center" wrapText="1"/>
    </xf>
    <xf numFmtId="0" fontId="27" fillId="11" borderId="15" xfId="8" applyFont="1" applyFill="1" applyBorder="1" applyAlignment="1">
      <alignment horizontal="center" vertical="center" wrapText="1"/>
    </xf>
    <xf numFmtId="0" fontId="27" fillId="11" borderId="17" xfId="8" applyFont="1" applyFill="1" applyBorder="1" applyAlignment="1">
      <alignment horizontal="center" vertical="center" wrapText="1"/>
    </xf>
    <xf numFmtId="0" fontId="27" fillId="11" borderId="18" xfId="8" applyFont="1" applyFill="1" applyBorder="1" applyAlignment="1">
      <alignment horizontal="center" vertical="center" wrapText="1"/>
    </xf>
    <xf numFmtId="0" fontId="15" fillId="7" borderId="0" xfId="6" applyFont="1" applyAlignment="1">
      <alignment horizontal="center" vertical="center"/>
    </xf>
    <xf numFmtId="0" fontId="13" fillId="2" borderId="0" xfId="1" applyFont="1" applyAlignment="1">
      <alignment horizontal="center" vertical="center"/>
    </xf>
    <xf numFmtId="0" fontId="18" fillId="4" borderId="9" xfId="3" applyFont="1" applyBorder="1" applyAlignment="1">
      <alignment horizontal="center"/>
    </xf>
    <xf numFmtId="0" fontId="18" fillId="4" borderId="11" xfId="3" applyFont="1" applyBorder="1" applyAlignment="1">
      <alignment horizontal="center"/>
    </xf>
    <xf numFmtId="0" fontId="18" fillId="4" borderId="4" xfId="3" applyFont="1" applyBorder="1" applyAlignment="1">
      <alignment horizontal="center"/>
    </xf>
    <xf numFmtId="0" fontId="18" fillId="4" borderId="5" xfId="3" applyFont="1" applyBorder="1" applyAlignment="1">
      <alignment horizontal="center"/>
    </xf>
    <xf numFmtId="0" fontId="17" fillId="5" borderId="0" xfId="4" applyFont="1" applyAlignment="1">
      <alignment horizontal="right"/>
    </xf>
    <xf numFmtId="0" fontId="8" fillId="6" borderId="2" xfId="5" applyFont="1" applyBorder="1" applyAlignment="1">
      <alignment horizontal="center"/>
    </xf>
    <xf numFmtId="0" fontId="8" fillId="6" borderId="3" xfId="5" applyFont="1" applyBorder="1" applyAlignment="1">
      <alignment horizontal="center"/>
    </xf>
    <xf numFmtId="0" fontId="10" fillId="8" borderId="0" xfId="7" applyBorder="1" applyAlignment="1">
      <alignment horizontal="center" wrapText="1"/>
    </xf>
    <xf numFmtId="0" fontId="10" fillId="8" borderId="0" xfId="7" applyBorder="1" applyAlignment="1">
      <alignment horizontal="center" vertical="center" wrapText="1"/>
    </xf>
    <xf numFmtId="0" fontId="10" fillId="8" borderId="0" xfId="7" applyBorder="1" applyAlignment="1">
      <alignment vertical="center" wrapText="1"/>
    </xf>
    <xf numFmtId="0" fontId="10" fillId="8" borderId="0" xfId="7" applyBorder="1" applyAlignment="1">
      <alignment horizontal="center"/>
    </xf>
    <xf numFmtId="0" fontId="10" fillId="8" borderId="0" xfId="7" applyBorder="1" applyAlignment="1">
      <alignment horizontal="center" vertical="center"/>
    </xf>
    <xf numFmtId="0" fontId="18" fillId="8" borderId="0" xfId="7" applyFont="1" applyAlignment="1">
      <alignment horizontal="center"/>
    </xf>
    <xf numFmtId="0" fontId="18" fillId="4" borderId="0" xfId="3" applyFont="1" applyBorder="1" applyAlignment="1">
      <alignment horizontal="center"/>
    </xf>
  </cellXfs>
  <cellStyles count="12">
    <cellStyle name="20% - Accent2" xfId="2" builtinId="34"/>
    <cellStyle name="20% - Accent4" xfId="5" builtinId="42"/>
    <cellStyle name="40% - Accent4" xfId="6" builtinId="43"/>
    <cellStyle name="60% - Accent2" xfId="3" builtinId="36"/>
    <cellStyle name="60% - Accent4" xfId="7" builtinId="44"/>
    <cellStyle name="Accent2" xfId="1" builtinId="33"/>
    <cellStyle name="Accent4" xfId="4" builtinId="41"/>
    <cellStyle name="Normal" xfId="0" builtinId="0"/>
    <cellStyle name="Normal 2" xfId="9" xr:uid="{00000000-0005-0000-0000-000008000000}"/>
    <cellStyle name="Normal 2 2" xfId="8" xr:uid="{00000000-0005-0000-0000-000009000000}"/>
    <cellStyle name="Student Name" xfId="10" xr:uid="{00000000-0005-0000-0000-00000A000000}"/>
    <cellStyle name="Submission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4535068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 descr="SAM logo" title="SAM logo">
          <a:extLst>
            <a:ext uri="{FF2B5EF4-FFF2-40B4-BE49-F238E27FC236}">
              <a16:creationId xmlns:a16="http://schemas.microsoft.com/office/drawing/2014/main" id="{09BD8EAA-33FC-43F0-B1D7-00085DE8F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9428" y="0"/>
          <a:ext cx="1941932" cy="403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zoomScaleNormal="100" workbookViewId="0">
      <selection activeCell="E1" sqref="E1"/>
    </sheetView>
  </sheetViews>
  <sheetFormatPr defaultColWidth="8.85546875" defaultRowHeight="12.75" x14ac:dyDescent="0.2"/>
  <cols>
    <col min="1" max="1" width="8.7109375" style="34" customWidth="1"/>
    <col min="2" max="2" width="90.7109375" style="34" customWidth="1"/>
    <col min="3" max="3" width="3.7109375" style="34" customWidth="1"/>
    <col min="4" max="16384" width="8.85546875" style="34"/>
  </cols>
  <sheetData>
    <row r="1" spans="1:3" ht="32.25" customHeight="1" x14ac:dyDescent="0.25">
      <c r="A1" s="32"/>
      <c r="B1" s="32" t="s">
        <v>31</v>
      </c>
      <c r="C1" s="33"/>
    </row>
    <row r="2" spans="1:3" ht="5.0999999999999996" customHeight="1" x14ac:dyDescent="0.25">
      <c r="A2" s="35"/>
      <c r="B2" s="36"/>
      <c r="C2" s="37"/>
    </row>
    <row r="3" spans="1:3" s="41" customFormat="1" ht="34.5" x14ac:dyDescent="0.25">
      <c r="A3" s="38"/>
      <c r="B3" s="39" t="s">
        <v>23</v>
      </c>
      <c r="C3" s="40"/>
    </row>
    <row r="4" spans="1:3" ht="16.5" x14ac:dyDescent="0.25">
      <c r="A4" s="38"/>
      <c r="B4" s="42" t="s">
        <v>30</v>
      </c>
      <c r="C4" s="37"/>
    </row>
    <row r="5" spans="1:3" ht="15.75" customHeight="1" x14ac:dyDescent="0.25">
      <c r="A5" s="38"/>
      <c r="B5" s="38"/>
      <c r="C5" s="37"/>
    </row>
    <row r="6" spans="1:3" ht="13.5" x14ac:dyDescent="0.25">
      <c r="A6" s="43" t="s">
        <v>20</v>
      </c>
      <c r="B6" s="44" t="s">
        <v>21</v>
      </c>
      <c r="C6" s="37"/>
    </row>
    <row r="7" spans="1:3" ht="13.5" x14ac:dyDescent="0.25">
      <c r="A7" s="38"/>
      <c r="B7" s="38"/>
      <c r="C7" s="37"/>
    </row>
    <row r="8" spans="1:3" x14ac:dyDescent="0.2">
      <c r="A8" s="50" t="s">
        <v>22</v>
      </c>
      <c r="B8" s="50"/>
      <c r="C8" s="51"/>
    </row>
    <row r="9" spans="1:3" x14ac:dyDescent="0.2">
      <c r="A9" s="50"/>
      <c r="B9" s="50"/>
      <c r="C9" s="51"/>
    </row>
    <row r="10" spans="1:3" ht="13.5" thickBot="1" x14ac:dyDescent="0.25">
      <c r="A10" s="52"/>
      <c r="B10" s="52"/>
      <c r="C10" s="53"/>
    </row>
    <row r="11" spans="1:3" ht="13.5" thickTop="1" x14ac:dyDescent="0.2"/>
  </sheetData>
  <mergeCells count="1">
    <mergeCell ref="A8:C10"/>
  </mergeCells>
  <dataValidations count="2">
    <dataValidation allowBlank="1" showInputMessage="1" showErrorMessage="1" error="                                                                " sqref="J3" xr:uid="{00000000-0002-0000-0000-000000000000}"/>
    <dataValidation allowBlank="1" error="pavI8MeUFtEyxX2I4tkyc7f5b86f-2e74-4e1d-a45d-a5a610166478" sqref="A1:C2 A3:C3 A4:C11" xr:uid="{00000000-0002-0000-0000-000001000000}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abSelected="1" workbookViewId="0">
      <selection activeCell="G2" sqref="G2"/>
    </sheetView>
  </sheetViews>
  <sheetFormatPr defaultRowHeight="12.75" x14ac:dyDescent="0.2"/>
  <cols>
    <col min="1" max="1" width="7.7109375" bestFit="1" customWidth="1"/>
    <col min="2" max="2" width="13.7109375" bestFit="1" customWidth="1"/>
    <col min="3" max="3" width="9.7109375" bestFit="1" customWidth="1"/>
    <col min="4" max="4" width="8.7109375" bestFit="1" customWidth="1"/>
    <col min="5" max="5" width="7" bestFit="1" customWidth="1"/>
    <col min="6" max="6" width="6.140625" bestFit="1" customWidth="1"/>
    <col min="7" max="7" width="20.140625" bestFit="1" customWidth="1"/>
    <col min="8" max="8" width="11" bestFit="1" customWidth="1"/>
    <col min="9" max="9" width="9.85546875" bestFit="1" customWidth="1"/>
    <col min="10" max="10" width="11.42578125" bestFit="1" customWidth="1"/>
    <col min="11" max="11" width="10.5703125" bestFit="1" customWidth="1"/>
  </cols>
  <sheetData>
    <row r="1" spans="1:16" ht="32.25" thickBot="1" x14ac:dyDescent="0.25">
      <c r="A1" s="55" t="s">
        <v>24</v>
      </c>
      <c r="B1" s="55"/>
      <c r="C1" s="55"/>
      <c r="D1" s="55"/>
      <c r="H1" s="16" t="s">
        <v>15</v>
      </c>
    </row>
    <row r="2" spans="1:16" ht="18" customHeight="1" thickBot="1" x14ac:dyDescent="0.3">
      <c r="A2" s="60" t="s">
        <v>14</v>
      </c>
      <c r="B2" s="60"/>
      <c r="C2" s="61"/>
      <c r="D2" s="62"/>
      <c r="H2" s="17">
        <f>WORKDAY(C4,5)</f>
        <v>44260</v>
      </c>
    </row>
    <row r="3" spans="1:16" ht="18" customHeight="1" thickBot="1" x14ac:dyDescent="0.3">
      <c r="A3" s="60" t="s">
        <v>16</v>
      </c>
      <c r="B3" s="60"/>
      <c r="C3" s="46">
        <v>44228</v>
      </c>
    </row>
    <row r="4" spans="1:16" ht="18" customHeight="1" thickBot="1" x14ac:dyDescent="0.35">
      <c r="A4" s="60" t="s">
        <v>17</v>
      </c>
      <c r="B4" s="60"/>
      <c r="C4" s="45">
        <f>WORKDAY(C3,19)</f>
        <v>44253</v>
      </c>
      <c r="H4" s="56" t="s">
        <v>10</v>
      </c>
      <c r="I4" s="57"/>
      <c r="J4" s="58" t="s">
        <v>13</v>
      </c>
      <c r="K4" s="59"/>
    </row>
    <row r="5" spans="1:16" ht="18" customHeight="1" thickBot="1" x14ac:dyDescent="0.3">
      <c r="A5" s="60" t="s">
        <v>8</v>
      </c>
      <c r="B5" s="60"/>
      <c r="C5" s="45">
        <f ca="1">NOW()</f>
        <v>44607.892978124997</v>
      </c>
      <c r="G5" s="2"/>
      <c r="H5" s="19" t="s">
        <v>5</v>
      </c>
      <c r="I5" s="31">
        <v>1</v>
      </c>
      <c r="J5" s="22" t="s">
        <v>18</v>
      </c>
      <c r="K5" s="23" t="s">
        <v>19</v>
      </c>
    </row>
    <row r="6" spans="1:16" ht="18" customHeight="1" x14ac:dyDescent="0.25">
      <c r="G6" s="2"/>
      <c r="H6" s="20" t="s">
        <v>11</v>
      </c>
      <c r="I6" s="18">
        <f>VLOOKUP($I$5,$A$17:$G$20,2)</f>
        <v>28</v>
      </c>
      <c r="J6" s="24"/>
      <c r="K6" s="25"/>
      <c r="L6" s="1"/>
    </row>
    <row r="7" spans="1:16" s="1" customFormat="1" ht="18" customHeight="1" x14ac:dyDescent="0.3">
      <c r="A7" s="68" t="s">
        <v>6</v>
      </c>
      <c r="B7" s="68"/>
      <c r="C7" s="68"/>
      <c r="D7" s="68"/>
      <c r="E7" s="68"/>
      <c r="F7" s="68"/>
      <c r="H7" s="20" t="s">
        <v>1</v>
      </c>
      <c r="I7" s="18">
        <f>VLOOKUP($I$5,$A$17:$G$20,3)</f>
        <v>0</v>
      </c>
      <c r="J7" s="24"/>
      <c r="K7" s="25"/>
    </row>
    <row r="8" spans="1:16" ht="18" customHeight="1" x14ac:dyDescent="0.25">
      <c r="A8" s="15" t="s">
        <v>5</v>
      </c>
      <c r="B8" s="15" t="s">
        <v>0</v>
      </c>
      <c r="C8" s="15" t="s">
        <v>32</v>
      </c>
      <c r="D8" s="15" t="s">
        <v>33</v>
      </c>
      <c r="E8" s="15" t="s">
        <v>34</v>
      </c>
      <c r="F8" s="15" t="s">
        <v>35</v>
      </c>
      <c r="G8" s="6"/>
      <c r="H8" s="20" t="s">
        <v>2</v>
      </c>
      <c r="I8" s="18">
        <f>VLOOKUP($I$5,$A$17:$G$20,4)</f>
        <v>0</v>
      </c>
      <c r="J8" s="26">
        <v>56</v>
      </c>
      <c r="K8" s="27">
        <f>J8-SUM(D17:D20)</f>
        <v>56</v>
      </c>
      <c r="M8" s="9"/>
      <c r="N8" s="9"/>
      <c r="O8" s="4"/>
      <c r="P8" s="4"/>
    </row>
    <row r="9" spans="1:16" ht="18" customHeight="1" x14ac:dyDescent="0.25">
      <c r="A9" s="14">
        <v>1</v>
      </c>
      <c r="B9" s="10">
        <v>8</v>
      </c>
      <c r="C9" s="10">
        <v>8.5</v>
      </c>
      <c r="D9" s="10">
        <v>7.5</v>
      </c>
      <c r="E9" s="10">
        <v>4</v>
      </c>
      <c r="F9" s="10">
        <v>0</v>
      </c>
      <c r="G9" s="6"/>
      <c r="H9" s="20" t="s">
        <v>3</v>
      </c>
      <c r="I9" s="18">
        <f>VLOOKUP($I$5,$A$17:$G$20,5)</f>
        <v>10</v>
      </c>
      <c r="J9" s="26">
        <v>24</v>
      </c>
      <c r="K9" s="27">
        <f>J9-SUM(E17:E20)</f>
        <v>14</v>
      </c>
      <c r="M9" s="4"/>
      <c r="N9" s="4"/>
      <c r="O9" s="4"/>
      <c r="P9" s="4"/>
    </row>
    <row r="10" spans="1:16" ht="18" customHeight="1" x14ac:dyDescent="0.25">
      <c r="A10" s="14">
        <v>2</v>
      </c>
      <c r="B10" s="10">
        <v>8</v>
      </c>
      <c r="C10" s="10">
        <v>7.5</v>
      </c>
      <c r="D10" s="10">
        <v>9</v>
      </c>
      <c r="E10" s="10">
        <v>7.5</v>
      </c>
      <c r="F10" s="10">
        <v>8</v>
      </c>
      <c r="G10" s="6"/>
      <c r="H10" s="20" t="s">
        <v>4</v>
      </c>
      <c r="I10" s="18">
        <f>VLOOKUP($I$5,$A$17:$G$20,6)</f>
        <v>2</v>
      </c>
      <c r="J10" s="28">
        <v>6.5</v>
      </c>
      <c r="K10" s="29">
        <f>J10-SUM(F17:F20)+SUM(G17:G20)-160</f>
        <v>8.5</v>
      </c>
      <c r="M10" s="4"/>
      <c r="N10" s="4"/>
      <c r="O10" s="4"/>
      <c r="P10" s="4"/>
    </row>
    <row r="11" spans="1:16" ht="18" customHeight="1" thickBot="1" x14ac:dyDescent="0.3">
      <c r="A11" s="14">
        <v>3</v>
      </c>
      <c r="B11" s="10">
        <v>0</v>
      </c>
      <c r="C11" s="10">
        <v>8</v>
      </c>
      <c r="D11" s="10">
        <v>8.5</v>
      </c>
      <c r="E11" s="10">
        <v>8.5</v>
      </c>
      <c r="F11" s="10">
        <v>7</v>
      </c>
      <c r="G11" s="6"/>
      <c r="H11" s="21" t="s">
        <v>12</v>
      </c>
      <c r="I11" s="18">
        <f>VLOOKUP($I$5,$A$17:$G$20,7)</f>
        <v>40</v>
      </c>
      <c r="J11" s="30">
        <f>SUM(J8:J10)</f>
        <v>86.5</v>
      </c>
      <c r="K11" s="30">
        <f>SUM(K8:K10)</f>
        <v>78.5</v>
      </c>
      <c r="M11" s="4"/>
      <c r="N11" s="4"/>
      <c r="O11" s="4"/>
      <c r="P11" s="4"/>
    </row>
    <row r="12" spans="1:16" ht="18" customHeight="1" x14ac:dyDescent="0.25">
      <c r="A12" s="14">
        <v>4</v>
      </c>
      <c r="B12" s="11">
        <v>9</v>
      </c>
      <c r="C12" s="10">
        <v>8.5</v>
      </c>
      <c r="D12" s="10">
        <v>8</v>
      </c>
      <c r="E12" s="10">
        <v>9.5</v>
      </c>
      <c r="F12" s="10">
        <v>9</v>
      </c>
      <c r="G12" s="6"/>
      <c r="M12" s="4"/>
      <c r="N12" s="4"/>
      <c r="O12" s="4"/>
      <c r="P12" s="4"/>
    </row>
    <row r="13" spans="1:16" ht="18" customHeight="1" x14ac:dyDescent="0.2">
      <c r="A13" s="6"/>
      <c r="B13" s="6"/>
      <c r="C13" s="6"/>
      <c r="D13" s="6"/>
      <c r="E13" s="6"/>
      <c r="F13" s="6"/>
      <c r="G13" s="6"/>
      <c r="M13" s="4"/>
      <c r="N13" s="4"/>
      <c r="O13" s="4"/>
      <c r="P13" s="4"/>
    </row>
    <row r="14" spans="1:16" ht="18" customHeight="1" x14ac:dyDescent="0.3">
      <c r="A14" s="69" t="s">
        <v>25</v>
      </c>
      <c r="B14" s="69"/>
      <c r="C14" s="69"/>
      <c r="D14" s="69"/>
      <c r="E14" s="69"/>
      <c r="F14" s="69"/>
      <c r="G14" s="69"/>
      <c r="H14" s="8"/>
      <c r="I14" s="54" t="s">
        <v>26</v>
      </c>
      <c r="J14" s="54"/>
      <c r="M14" s="4"/>
      <c r="N14" s="4"/>
      <c r="O14" s="4"/>
      <c r="P14" s="4"/>
    </row>
    <row r="15" spans="1:16" ht="15" customHeight="1" x14ac:dyDescent="0.25">
      <c r="A15" s="67" t="s">
        <v>5</v>
      </c>
      <c r="B15" s="64" t="s">
        <v>6</v>
      </c>
      <c r="C15" s="66" t="s">
        <v>9</v>
      </c>
      <c r="D15" s="66"/>
      <c r="E15" s="66"/>
      <c r="F15" s="66"/>
      <c r="G15" s="63" t="s">
        <v>7</v>
      </c>
      <c r="H15" s="7"/>
      <c r="I15" s="54"/>
      <c r="J15" s="54"/>
      <c r="M15" s="4"/>
      <c r="N15" s="4"/>
      <c r="O15" s="4"/>
      <c r="P15" s="4"/>
    </row>
    <row r="16" spans="1:16" ht="24.95" customHeight="1" x14ac:dyDescent="0.25">
      <c r="A16" s="67"/>
      <c r="B16" s="65"/>
      <c r="C16" s="47" t="s">
        <v>1</v>
      </c>
      <c r="D16" s="47" t="s">
        <v>2</v>
      </c>
      <c r="E16" s="47" t="s">
        <v>3</v>
      </c>
      <c r="F16" s="47" t="s">
        <v>4</v>
      </c>
      <c r="G16" s="63"/>
      <c r="H16" s="4"/>
      <c r="I16" s="49" t="s">
        <v>27</v>
      </c>
      <c r="J16">
        <f>AVERAGE(B9:F12)</f>
        <v>7.2</v>
      </c>
      <c r="M16" s="4"/>
      <c r="N16" s="4"/>
      <c r="O16" s="4"/>
      <c r="P16" s="4"/>
    </row>
    <row r="17" spans="1:16" ht="24.95" customHeight="1" x14ac:dyDescent="0.2">
      <c r="A17" s="48">
        <v>1</v>
      </c>
      <c r="B17" s="12">
        <f>IF(SUM(B9:F9)=0,"",SUM(B9:F9))</f>
        <v>28</v>
      </c>
      <c r="C17" s="12"/>
      <c r="D17" s="13"/>
      <c r="E17" s="12">
        <v>10</v>
      </c>
      <c r="F17" s="12">
        <v>2</v>
      </c>
      <c r="G17" s="12">
        <f>IF(SUM(B17:F17)=0,"",SUM(B17:F17))</f>
        <v>40</v>
      </c>
      <c r="H17" s="4"/>
      <c r="I17" s="49" t="s">
        <v>28</v>
      </c>
      <c r="J17">
        <f>MAX(B9:F12)</f>
        <v>9.5</v>
      </c>
      <c r="M17" s="4"/>
      <c r="N17" s="4"/>
      <c r="O17" s="4"/>
      <c r="P17" s="4"/>
    </row>
    <row r="18" spans="1:16" ht="24.95" customHeight="1" x14ac:dyDescent="0.2">
      <c r="A18" s="48">
        <v>2</v>
      </c>
      <c r="B18" s="12">
        <f t="shared" ref="B18:B20" si="0">IF(SUM(B10:F10)=0,"",SUM(B10:F10))</f>
        <v>40</v>
      </c>
      <c r="C18" s="12"/>
      <c r="D18" s="13"/>
      <c r="E18" s="12"/>
      <c r="F18" s="12"/>
      <c r="G18" s="12">
        <f t="shared" ref="G18:G20" si="1">IF(SUM(B18:F18)=0,"",SUM(B18:F18))</f>
        <v>40</v>
      </c>
      <c r="H18" s="4"/>
      <c r="I18" s="49" t="s">
        <v>29</v>
      </c>
      <c r="J18">
        <f>MIN(B9:F12)</f>
        <v>0</v>
      </c>
      <c r="M18" s="4"/>
      <c r="N18" s="4"/>
      <c r="O18" s="4"/>
      <c r="P18" s="4"/>
    </row>
    <row r="19" spans="1:16" ht="24.95" customHeight="1" x14ac:dyDescent="0.2">
      <c r="A19" s="48">
        <v>3</v>
      </c>
      <c r="B19" s="12">
        <f t="shared" si="0"/>
        <v>32</v>
      </c>
      <c r="C19" s="12">
        <v>8</v>
      </c>
      <c r="D19" s="13"/>
      <c r="E19" s="12"/>
      <c r="F19" s="12"/>
      <c r="G19" s="12">
        <f t="shared" si="1"/>
        <v>40</v>
      </c>
      <c r="H19" s="4"/>
      <c r="M19" s="4"/>
      <c r="N19" s="4"/>
      <c r="O19" s="4"/>
      <c r="P19" s="4"/>
    </row>
    <row r="20" spans="1:16" ht="24.95" customHeight="1" x14ac:dyDescent="0.2">
      <c r="A20" s="48">
        <v>4</v>
      </c>
      <c r="B20" s="12">
        <f t="shared" si="0"/>
        <v>44</v>
      </c>
      <c r="C20" s="12"/>
      <c r="D20" s="12"/>
      <c r="E20" s="12"/>
      <c r="F20" s="12"/>
      <c r="G20" s="12">
        <f t="shared" si="1"/>
        <v>44</v>
      </c>
      <c r="H20" s="4"/>
      <c r="M20" s="4"/>
      <c r="N20" s="4"/>
      <c r="O20" s="4"/>
      <c r="P20" s="4"/>
    </row>
    <row r="21" spans="1:16" ht="12.75" customHeight="1" x14ac:dyDescent="0.2">
      <c r="H21" s="4"/>
      <c r="M21" s="4"/>
      <c r="N21" s="4"/>
      <c r="O21" s="4"/>
      <c r="P21" s="4"/>
    </row>
    <row r="22" spans="1:16" ht="12.75" customHeight="1" x14ac:dyDescent="0.2">
      <c r="H22" s="4"/>
      <c r="M22" s="4"/>
      <c r="N22" s="4"/>
      <c r="O22" s="4"/>
      <c r="P22" s="4"/>
    </row>
    <row r="23" spans="1:16" ht="12.75" customHeight="1" x14ac:dyDescent="0.2">
      <c r="H23" s="4"/>
      <c r="I23" s="4"/>
      <c r="J23" s="4"/>
      <c r="K23" s="4"/>
      <c r="L23" s="4"/>
      <c r="M23" s="4"/>
      <c r="N23" s="4"/>
      <c r="O23" s="4"/>
      <c r="P23" s="4"/>
    </row>
    <row r="24" spans="1:16" ht="12.75" customHeight="1" x14ac:dyDescent="0.2">
      <c r="H24" s="4"/>
      <c r="I24" s="4"/>
      <c r="J24" s="4"/>
      <c r="K24" s="4"/>
      <c r="L24" s="4"/>
      <c r="M24" s="4"/>
      <c r="N24" s="4"/>
      <c r="O24" s="4"/>
      <c r="P24" s="4"/>
    </row>
    <row r="25" spans="1:16" ht="12.75" customHeight="1" x14ac:dyDescent="0.2">
      <c r="H25" s="4"/>
      <c r="I25" s="4"/>
      <c r="J25" s="4"/>
      <c r="K25" s="4"/>
      <c r="L25" s="4"/>
      <c r="M25" s="4"/>
      <c r="N25" s="4"/>
      <c r="O25" s="4"/>
      <c r="P25" s="4"/>
    </row>
    <row r="26" spans="1:16" ht="12.75" customHeight="1" x14ac:dyDescent="0.2"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"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"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">
      <c r="H29" s="4"/>
      <c r="I29" s="4"/>
      <c r="J29" s="4"/>
      <c r="K29" s="4"/>
      <c r="L29" s="4"/>
      <c r="M29" s="4"/>
      <c r="N29" s="4"/>
      <c r="O29" s="4"/>
      <c r="P29" s="4"/>
    </row>
    <row r="30" spans="1:16" ht="12.75" customHeight="1" x14ac:dyDescent="0.2"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"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">
      <c r="H32" s="4"/>
      <c r="I32" s="4"/>
      <c r="J32" s="4"/>
      <c r="K32" s="4"/>
      <c r="L32" s="4"/>
      <c r="M32" s="4"/>
      <c r="N32" s="4"/>
      <c r="O32" s="4"/>
      <c r="P32" s="4"/>
    </row>
    <row r="33" spans="8:16" x14ac:dyDescent="0.2">
      <c r="H33" s="4"/>
      <c r="I33" s="4"/>
      <c r="J33" s="4"/>
      <c r="K33" s="4"/>
      <c r="L33" s="4"/>
      <c r="M33" s="4"/>
      <c r="N33" s="4"/>
      <c r="O33" s="4"/>
      <c r="P33" s="4"/>
    </row>
    <row r="34" spans="8:16" x14ac:dyDescent="0.2">
      <c r="H34" s="4"/>
      <c r="I34" s="4"/>
      <c r="J34" s="4"/>
      <c r="K34" s="4"/>
      <c r="L34" s="4"/>
      <c r="M34" s="4"/>
      <c r="N34" s="4"/>
      <c r="O34" s="4"/>
      <c r="P34" s="4"/>
    </row>
    <row r="35" spans="8:16" x14ac:dyDescent="0.2">
      <c r="H35" s="4"/>
      <c r="I35" s="4"/>
      <c r="J35" s="4"/>
      <c r="K35" s="4"/>
      <c r="L35" s="4"/>
      <c r="M35" s="4"/>
      <c r="N35" s="4"/>
      <c r="O35" s="4"/>
      <c r="P35" s="4"/>
    </row>
    <row r="36" spans="8:16" x14ac:dyDescent="0.2">
      <c r="H36" s="4"/>
      <c r="I36" s="4"/>
      <c r="J36" s="4"/>
      <c r="K36" s="4"/>
      <c r="L36" s="4"/>
      <c r="M36" s="4"/>
      <c r="N36" s="4"/>
      <c r="O36" s="4"/>
      <c r="P36" s="4"/>
    </row>
    <row r="37" spans="8:16" x14ac:dyDescent="0.2">
      <c r="H37" s="4"/>
      <c r="I37" s="4"/>
      <c r="J37" s="4"/>
      <c r="K37" s="4"/>
      <c r="L37" s="4"/>
      <c r="M37" s="4"/>
      <c r="N37" s="4"/>
      <c r="O37" s="4"/>
      <c r="P37" s="4"/>
    </row>
    <row r="38" spans="8:16" x14ac:dyDescent="0.2">
      <c r="H38" s="4"/>
      <c r="I38" s="4"/>
      <c r="J38" s="4"/>
      <c r="K38" s="4"/>
      <c r="L38" s="4"/>
      <c r="M38" s="4"/>
      <c r="N38" s="4"/>
      <c r="O38" s="4"/>
      <c r="P38" s="4"/>
    </row>
    <row r="39" spans="8:16" x14ac:dyDescent="0.2">
      <c r="H39" s="4"/>
      <c r="I39" s="4"/>
      <c r="J39" s="4"/>
      <c r="K39" s="4"/>
      <c r="L39" s="4"/>
      <c r="M39" s="4"/>
      <c r="N39" s="4"/>
      <c r="O39" s="4"/>
      <c r="P39" s="4"/>
    </row>
    <row r="40" spans="8:16" x14ac:dyDescent="0.2">
      <c r="H40" s="4"/>
      <c r="I40" s="4"/>
      <c r="J40" s="4"/>
      <c r="K40" s="4"/>
      <c r="L40" s="4"/>
      <c r="M40" s="4"/>
      <c r="N40" s="4"/>
      <c r="O40" s="4"/>
      <c r="P40" s="4"/>
    </row>
    <row r="41" spans="8:16" x14ac:dyDescent="0.2">
      <c r="H41" s="4"/>
      <c r="I41" s="4"/>
      <c r="J41" s="4"/>
      <c r="K41" s="4"/>
      <c r="L41" s="4"/>
      <c r="M41" s="4"/>
      <c r="N41" s="4"/>
      <c r="O41" s="4"/>
      <c r="P41" s="4"/>
    </row>
    <row r="42" spans="8:16" x14ac:dyDescent="0.2">
      <c r="H42" s="4"/>
      <c r="I42" s="4"/>
      <c r="J42" s="4"/>
      <c r="K42" s="4"/>
      <c r="L42" s="4"/>
      <c r="M42" s="4"/>
      <c r="N42" s="4"/>
      <c r="O42" s="4"/>
      <c r="P42" s="4"/>
    </row>
    <row r="43" spans="8:16" x14ac:dyDescent="0.2">
      <c r="H43" s="4"/>
      <c r="I43" s="4"/>
      <c r="J43" s="4"/>
      <c r="K43" s="4"/>
      <c r="L43" s="4"/>
      <c r="M43" s="4"/>
      <c r="N43" s="4"/>
      <c r="O43" s="4"/>
      <c r="P43" s="4"/>
    </row>
    <row r="44" spans="8:16" x14ac:dyDescent="0.2">
      <c r="H44" s="4"/>
      <c r="I44" s="4"/>
      <c r="J44" s="4"/>
      <c r="K44" s="4"/>
      <c r="L44" s="4"/>
      <c r="M44" s="4"/>
      <c r="N44" s="4"/>
      <c r="O44" s="4"/>
      <c r="P44" s="4"/>
    </row>
    <row r="45" spans="8:16" x14ac:dyDescent="0.2">
      <c r="H45" s="4"/>
      <c r="I45" s="4"/>
      <c r="J45" s="4"/>
      <c r="K45" s="4"/>
      <c r="L45" s="4"/>
      <c r="M45" s="4"/>
      <c r="N45" s="4"/>
      <c r="O45" s="4"/>
      <c r="P45" s="4"/>
    </row>
    <row r="46" spans="8:16" x14ac:dyDescent="0.2">
      <c r="H46" s="4"/>
      <c r="I46" s="4"/>
      <c r="J46" s="4"/>
      <c r="K46" s="4"/>
      <c r="L46" s="4"/>
      <c r="M46" s="4"/>
      <c r="N46" s="4"/>
      <c r="O46" s="4"/>
      <c r="P46" s="4"/>
    </row>
    <row r="47" spans="8:16" x14ac:dyDescent="0.2">
      <c r="H47" s="4"/>
      <c r="I47" s="4"/>
      <c r="J47" s="4"/>
      <c r="K47" s="4"/>
      <c r="L47" s="4"/>
      <c r="M47" s="4"/>
      <c r="N47" s="4"/>
      <c r="O47" s="4"/>
      <c r="P47" s="4"/>
    </row>
    <row r="48" spans="8:16" x14ac:dyDescent="0.2">
      <c r="H48" s="4"/>
      <c r="I48" s="4"/>
      <c r="J48" s="4"/>
      <c r="K48" s="4"/>
      <c r="L48" s="4"/>
      <c r="M48" s="4"/>
      <c r="N48" s="4"/>
      <c r="O48" s="4"/>
      <c r="P48" s="4"/>
    </row>
    <row r="49" spans="8:16" x14ac:dyDescent="0.2">
      <c r="H49" s="4"/>
      <c r="I49" s="4"/>
      <c r="J49" s="4"/>
      <c r="K49" s="4"/>
      <c r="L49" s="4"/>
      <c r="M49" s="4"/>
      <c r="N49" s="4"/>
      <c r="O49" s="4"/>
      <c r="P49" s="4"/>
    </row>
    <row r="50" spans="8:16" x14ac:dyDescent="0.2">
      <c r="H50" s="3"/>
      <c r="I50" s="3"/>
      <c r="J50" s="3"/>
      <c r="K50" s="3"/>
      <c r="L50" s="3"/>
      <c r="M50" s="3"/>
      <c r="N50" s="4"/>
      <c r="O50" s="4"/>
      <c r="P50" s="4"/>
    </row>
    <row r="51" spans="8:16" x14ac:dyDescent="0.2">
      <c r="H51" s="3"/>
      <c r="I51" s="3"/>
      <c r="J51" s="3"/>
      <c r="K51" s="3"/>
      <c r="L51" s="3"/>
      <c r="M51" s="3"/>
      <c r="N51" s="4"/>
      <c r="O51" s="4"/>
      <c r="P51" s="4"/>
    </row>
    <row r="52" spans="8:16" x14ac:dyDescent="0.2">
      <c r="H52" s="3"/>
      <c r="I52" s="3"/>
      <c r="J52" s="3"/>
      <c r="K52" s="3"/>
      <c r="L52" s="3"/>
      <c r="M52" s="3"/>
      <c r="N52" s="4"/>
      <c r="O52" s="4"/>
      <c r="P52" s="4"/>
    </row>
    <row r="53" spans="8:16" x14ac:dyDescent="0.2">
      <c r="H53" s="3"/>
      <c r="I53" s="3"/>
      <c r="J53" s="3"/>
      <c r="K53" s="3"/>
      <c r="L53" s="3"/>
      <c r="M53" s="3"/>
      <c r="N53" s="4"/>
      <c r="O53" s="4"/>
      <c r="P53" s="4"/>
    </row>
    <row r="54" spans="8:16" x14ac:dyDescent="0.2">
      <c r="H54" s="3"/>
      <c r="I54" s="3"/>
      <c r="J54" s="3"/>
      <c r="K54" s="3"/>
      <c r="L54" s="3"/>
      <c r="M54" s="3"/>
      <c r="N54" s="4"/>
      <c r="O54" s="4"/>
      <c r="P54" s="4"/>
    </row>
    <row r="55" spans="8:16" x14ac:dyDescent="0.2">
      <c r="H55" s="3"/>
      <c r="I55" s="3"/>
      <c r="J55" s="3"/>
      <c r="K55" s="3"/>
      <c r="L55" s="3"/>
      <c r="M55" s="3"/>
      <c r="N55" s="4"/>
      <c r="O55" s="4"/>
      <c r="P55" s="4"/>
    </row>
    <row r="56" spans="8:16" x14ac:dyDescent="0.2">
      <c r="H56" s="3"/>
      <c r="I56" s="3"/>
      <c r="J56" s="3"/>
      <c r="K56" s="3"/>
      <c r="L56" s="3"/>
      <c r="M56" s="3"/>
      <c r="N56" s="4"/>
      <c r="O56" s="4"/>
      <c r="P56" s="4"/>
    </row>
    <row r="57" spans="8:16" x14ac:dyDescent="0.2">
      <c r="H57" s="3"/>
      <c r="I57" s="3"/>
      <c r="J57" s="3"/>
      <c r="K57" s="3"/>
      <c r="L57" s="3"/>
      <c r="M57" s="3"/>
      <c r="N57" s="4"/>
      <c r="O57" s="4"/>
      <c r="P57" s="4"/>
    </row>
    <row r="58" spans="8:16" x14ac:dyDescent="0.2">
      <c r="H58" s="5"/>
      <c r="I58" s="5"/>
      <c r="J58" s="5"/>
      <c r="K58" s="5"/>
      <c r="L58" s="5"/>
      <c r="M58" s="5"/>
      <c r="N58" s="5"/>
      <c r="O58" s="5"/>
      <c r="P58" s="5"/>
    </row>
    <row r="59" spans="8:16" x14ac:dyDescent="0.2">
      <c r="H59" s="3"/>
      <c r="I59" s="3"/>
      <c r="J59" s="3"/>
      <c r="K59" s="3"/>
      <c r="L59" s="3"/>
      <c r="M59" s="3"/>
      <c r="N59" s="4"/>
      <c r="O59" s="4"/>
      <c r="P59" s="4"/>
    </row>
    <row r="60" spans="8:16" x14ac:dyDescent="0.2">
      <c r="H60" s="3"/>
      <c r="I60" s="3"/>
      <c r="J60" s="3"/>
      <c r="K60" s="3"/>
      <c r="L60" s="3"/>
      <c r="M60" s="3"/>
      <c r="N60" s="4"/>
      <c r="O60" s="4"/>
      <c r="P60" s="4"/>
    </row>
    <row r="61" spans="8:16" x14ac:dyDescent="0.2">
      <c r="H61" s="3"/>
      <c r="I61" s="3"/>
      <c r="J61" s="3"/>
      <c r="K61" s="3"/>
      <c r="L61" s="3"/>
      <c r="M61" s="3"/>
      <c r="N61" s="4"/>
      <c r="O61" s="4"/>
      <c r="P61" s="4"/>
    </row>
    <row r="62" spans="8:16" x14ac:dyDescent="0.2">
      <c r="H62" s="3"/>
      <c r="I62" s="3"/>
      <c r="J62" s="3"/>
      <c r="K62" s="3"/>
      <c r="L62" s="3"/>
      <c r="M62" s="3"/>
      <c r="N62" s="4"/>
      <c r="O62" s="4"/>
      <c r="P62" s="4"/>
    </row>
    <row r="63" spans="8:16" x14ac:dyDescent="0.2">
      <c r="H63" s="3"/>
      <c r="I63" s="3"/>
      <c r="J63" s="3"/>
      <c r="K63" s="3"/>
      <c r="L63" s="3"/>
      <c r="M63" s="3"/>
      <c r="N63" s="4"/>
      <c r="O63" s="4"/>
      <c r="P63" s="4"/>
    </row>
    <row r="64" spans="8:16" x14ac:dyDescent="0.2">
      <c r="H64" s="3"/>
      <c r="I64" s="3"/>
      <c r="J64" s="3"/>
      <c r="K64" s="3"/>
      <c r="L64" s="3"/>
      <c r="M64" s="3"/>
      <c r="N64" s="4"/>
      <c r="O64" s="4"/>
      <c r="P64" s="4"/>
    </row>
    <row r="65" spans="8:16" x14ac:dyDescent="0.2">
      <c r="H65" s="3"/>
      <c r="I65" s="3"/>
      <c r="J65" s="3"/>
      <c r="K65" s="3"/>
      <c r="L65" s="3"/>
      <c r="M65" s="3"/>
      <c r="N65" s="4"/>
      <c r="O65" s="4"/>
      <c r="P65" s="4"/>
    </row>
    <row r="66" spans="8:16" x14ac:dyDescent="0.2">
      <c r="H66" s="3"/>
      <c r="I66" s="3"/>
      <c r="J66" s="3"/>
      <c r="K66" s="3"/>
      <c r="L66" s="3"/>
      <c r="M66" s="3"/>
      <c r="N66" s="4"/>
      <c r="O66" s="4"/>
      <c r="P66" s="4"/>
    </row>
    <row r="67" spans="8:16" x14ac:dyDescent="0.2">
      <c r="H67" s="3"/>
      <c r="I67" s="3"/>
      <c r="J67" s="3"/>
      <c r="K67" s="3"/>
      <c r="L67" s="3"/>
      <c r="M67" s="3"/>
      <c r="N67" s="4"/>
      <c r="O67" s="4"/>
      <c r="P67" s="4"/>
    </row>
    <row r="68" spans="8:16" x14ac:dyDescent="0.2">
      <c r="H68" s="3"/>
      <c r="I68" s="3"/>
      <c r="J68" s="3"/>
      <c r="K68" s="3"/>
      <c r="L68" s="3"/>
      <c r="M68" s="3"/>
      <c r="N68" s="4"/>
      <c r="O68" s="4"/>
      <c r="P68" s="4"/>
    </row>
    <row r="69" spans="8:16" x14ac:dyDescent="0.2">
      <c r="H69" s="3"/>
      <c r="I69" s="3"/>
      <c r="J69" s="3"/>
      <c r="K69" s="3"/>
      <c r="L69" s="3"/>
      <c r="M69" s="3"/>
      <c r="N69" s="4"/>
      <c r="O69" s="4"/>
      <c r="P69" s="4"/>
    </row>
    <row r="70" spans="8:16" x14ac:dyDescent="0.2">
      <c r="H70" s="3"/>
      <c r="I70" s="3"/>
      <c r="J70" s="3"/>
      <c r="K70" s="3"/>
      <c r="L70" s="3"/>
      <c r="M70" s="3"/>
      <c r="N70" s="4"/>
      <c r="O70" s="4"/>
      <c r="P70" s="4"/>
    </row>
    <row r="71" spans="8:16" x14ac:dyDescent="0.2">
      <c r="H71" s="3"/>
      <c r="I71" s="3"/>
      <c r="J71" s="3"/>
      <c r="K71" s="3"/>
      <c r="L71" s="3"/>
      <c r="M71" s="3"/>
      <c r="N71" s="4"/>
      <c r="O71" s="4"/>
      <c r="P71" s="4"/>
    </row>
    <row r="72" spans="8:16" x14ac:dyDescent="0.2">
      <c r="H72" s="3"/>
      <c r="I72" s="3"/>
      <c r="J72" s="3"/>
      <c r="K72" s="3"/>
      <c r="L72" s="3"/>
      <c r="M72" s="3"/>
      <c r="N72" s="4"/>
      <c r="O72" s="4"/>
      <c r="P72" s="4"/>
    </row>
    <row r="73" spans="8:16" x14ac:dyDescent="0.2">
      <c r="H73" s="3"/>
      <c r="I73" s="3"/>
      <c r="J73" s="3"/>
      <c r="K73" s="3"/>
      <c r="L73" s="3"/>
      <c r="M73" s="3"/>
      <c r="N73" s="4"/>
      <c r="O73" s="4"/>
      <c r="P73" s="4"/>
    </row>
    <row r="74" spans="8:16" x14ac:dyDescent="0.2">
      <c r="H74" s="3"/>
      <c r="I74" s="3"/>
      <c r="J74" s="3"/>
      <c r="K74" s="3"/>
      <c r="L74" s="3"/>
      <c r="M74" s="3"/>
      <c r="N74" s="4"/>
      <c r="O74" s="4"/>
      <c r="P74" s="4"/>
    </row>
    <row r="75" spans="8:16" x14ac:dyDescent="0.2">
      <c r="H75" s="3"/>
      <c r="I75" s="3"/>
      <c r="J75" s="3"/>
      <c r="K75" s="3"/>
      <c r="L75" s="3"/>
      <c r="M75" s="3"/>
      <c r="N75" s="4"/>
      <c r="O75" s="4"/>
      <c r="P75" s="4"/>
    </row>
    <row r="76" spans="8:16" x14ac:dyDescent="0.2">
      <c r="H76" s="3"/>
      <c r="I76" s="3"/>
      <c r="J76" s="3"/>
      <c r="K76" s="3"/>
      <c r="L76" s="3"/>
      <c r="M76" s="3"/>
      <c r="N76" s="4"/>
      <c r="O76" s="4"/>
      <c r="P76" s="4"/>
    </row>
    <row r="77" spans="8:16" x14ac:dyDescent="0.2">
      <c r="H77" s="3"/>
      <c r="I77" s="3"/>
      <c r="J77" s="3"/>
      <c r="K77" s="3"/>
      <c r="L77" s="3"/>
      <c r="M77" s="3"/>
      <c r="N77" s="4"/>
      <c r="O77" s="4"/>
      <c r="P77" s="4"/>
    </row>
    <row r="78" spans="8:16" x14ac:dyDescent="0.2">
      <c r="H78" s="3"/>
      <c r="I78" s="3"/>
      <c r="J78" s="3"/>
      <c r="K78" s="3"/>
      <c r="L78" s="3"/>
      <c r="M78" s="3"/>
      <c r="N78" s="4"/>
      <c r="O78" s="4"/>
      <c r="P78" s="4"/>
    </row>
    <row r="79" spans="8:16" x14ac:dyDescent="0.2">
      <c r="H79" s="3"/>
      <c r="I79" s="3"/>
      <c r="J79" s="3"/>
      <c r="K79" s="3"/>
      <c r="L79" s="3"/>
      <c r="M79" s="3"/>
      <c r="N79" s="4"/>
      <c r="O79" s="4"/>
      <c r="P79" s="4"/>
    </row>
  </sheetData>
  <mergeCells count="15">
    <mergeCell ref="I14:J15"/>
    <mergeCell ref="A1:D1"/>
    <mergeCell ref="H4:I4"/>
    <mergeCell ref="J4:K4"/>
    <mergeCell ref="A2:B2"/>
    <mergeCell ref="A3:B3"/>
    <mergeCell ref="A4:B4"/>
    <mergeCell ref="C2:D2"/>
    <mergeCell ref="G15:G16"/>
    <mergeCell ref="B15:B16"/>
    <mergeCell ref="C15:F15"/>
    <mergeCell ref="A15:A16"/>
    <mergeCell ref="A5:B5"/>
    <mergeCell ref="A7:F7"/>
    <mergeCell ref="A14:G14"/>
  </mergeCells>
  <phoneticPr fontId="0" type="noConversion"/>
  <dataValidations count="1">
    <dataValidation allowBlank="1" error="pavI8MeUFtEyxX2I4tkyc7f5b86f-2e74-4e1d-a45d-a5a610166478" sqref="A1:P79" xr:uid="{00000000-0002-0000-0100-000000000000}"/>
  </dataValidations>
  <pageMargins left="0.75" right="0.75" top="0.75" bottom="0.75" header="0.5" footer="0.5"/>
  <pageSetup orientation="landscape" r:id="rId1"/>
  <headerFooter alignWithMargins="0"/>
  <ignoredErrors>
    <ignoredError sqref="G17 G18:G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{c7f5b86f-2e74-4e1d-a45d-a5a610166478}</UserID>
  <AssignmentID>{c7f5b86f-2e74-4e1d-a45d-a5a610166478}</AssignmentID>
</GradingEngineProps>
</file>

<file path=customXml/itemProps1.xml><?xml version="1.0" encoding="utf-8"?>
<ds:datastoreItem xmlns:ds="http://schemas.openxmlformats.org/officeDocument/2006/customXml" ds:itemID="{2078D411-9F08-481D-8954-F9EF282F382D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Kwesi Koufie</cp:lastModifiedBy>
  <dcterms:created xsi:type="dcterms:W3CDTF">2018-06-07T17:55:16Z</dcterms:created>
  <dcterms:modified xsi:type="dcterms:W3CDTF">2022-02-16T02:25:53Z</dcterms:modified>
</cp:coreProperties>
</file>